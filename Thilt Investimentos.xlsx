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hisoufir/Downloads/"/>
    </mc:Choice>
  </mc:AlternateContent>
  <xr:revisionPtr revIDLastSave="0" documentId="13_ncr:1_{E30E0186-AB25-2B42-8DFA-0623D91C1153}" xr6:coauthVersionLast="47" xr6:coauthVersionMax="47" xr10:uidLastSave="{00000000-0000-0000-0000-000000000000}"/>
  <bookViews>
    <workbookView xWindow="0" yWindow="760" windowWidth="29400" windowHeight="1774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<sst xmlns="http://schemas.openxmlformats.org/spreadsheetml/2006/main" count="71" uniqueCount="34">
  <si>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</si>
  <si>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</si>
  <si>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</si>
  <si>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</si>
  <si>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</si>
  <si>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</si>
  <si>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</si>
  <si>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</si>
  <si>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</si>
  <si>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</si>
  <si>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</si>
  <si>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</si>
  <si>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</si>
  <si>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</si>
  <si>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</si>
  <si>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</si>
  <si>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</si>
  <si>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</si>
  <si>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</si>
  <si>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</si>
  <si>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</si>
  <si>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</si>
  <si>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</si>
  <si>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</si>
  <si>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</si>
  <si>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</si>
  <si>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</si>
  <si>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</si>
  <si>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</si>
  <si>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</si>
  <si>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</si>
  <si>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</si>
  <si>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</si>
  <si>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 xml:space="preserve"> 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</si>
</sst>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Comic Sans MS Bold"/>
    </font>
    <font>
      <b/>
      <sz val="12"/>
      <color theme="0"/>
      <name val="Comic Sans MS Bold"/>
    </font>
    <font>
      <sz val="12"/>
      <color theme="1"/>
      <name val="Comic Sans MS Bold"/>
    </font>
    <font>
      <sz val="11"/>
      <color theme="1"/>
      <name val="Comic Sans MS Bold"/>
    </font>
    <font>
      <b/>
      <sz val="11"/>
      <color theme="1"/>
      <name val="Comic Sans MS Bold"/>
    </font>
    <font>
      <b/>
      <sz val="12"/>
      <color theme="1"/>
      <name val="Comic Sans MS Bold"/>
    </font>
    <font>
      <sz val="11"/>
      <color theme="0"/>
      <name val="Comic Sans MS Bold"/>
    </font>
    <font>
      <b/>
      <sz val="11"/>
      <color theme="0"/>
      <name val="Comic Sans MS Bold"/>
    </font>
    <font>
      <sz val="10"/>
      <color theme="0"/>
      <name val="Comic Sans MS Bold"/>
    </font>
    <font>
      <sz val="10"/>
      <color theme="1"/>
      <name val="Comic Sans MS Bold"/>
    </font>
    <font>
      <sz val="10"/>
      <color rgb="FF9C5700"/>
      <name val="Comic Sans MS Bold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4" fillId="8" borderId="1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164" fontId="7" fillId="0" borderId="16" xfId="1" applyNumberFormat="1" applyFont="1" applyBorder="1" applyAlignment="1">
      <alignment horizontal="center"/>
    </xf>
    <xf numFmtId="0" fontId="6" fillId="4" borderId="17" xfId="0" applyFont="1" applyFill="1" applyBorder="1" applyAlignment="1">
      <alignment horizontal="left" indent="3"/>
    </xf>
    <xf numFmtId="0" fontId="6" fillId="4" borderId="18" xfId="0" applyFont="1" applyFill="1" applyBorder="1" applyAlignment="1">
      <alignment horizontal="left" indent="3"/>
    </xf>
    <xf numFmtId="10" fontId="7" fillId="0" borderId="19" xfId="0" applyNumberFormat="1" applyFont="1" applyBorder="1" applyAlignment="1">
      <alignment horizontal="center"/>
    </xf>
    <xf numFmtId="0" fontId="6" fillId="4" borderId="20" xfId="0" applyFont="1" applyFill="1" applyBorder="1" applyAlignment="1">
      <alignment horizontal="left" indent="3"/>
    </xf>
    <xf numFmtId="0" fontId="6" fillId="4" borderId="21" xfId="0" applyFont="1" applyFill="1" applyBorder="1" applyAlignment="1">
      <alignment horizontal="left" indent="3"/>
    </xf>
    <xf numFmtId="164" fontId="7" fillId="4" borderId="22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0" fontId="9" fillId="3" borderId="17" xfId="0" applyFont="1" applyFill="1" applyBorder="1" applyAlignment="1">
      <alignment horizontal="left" indent="3"/>
    </xf>
    <xf numFmtId="0" fontId="9" fillId="3" borderId="18" xfId="0" applyFont="1" applyFill="1" applyBorder="1" applyAlignment="1">
      <alignment horizontal="left" indent="3"/>
    </xf>
    <xf numFmtId="8" fontId="8" fillId="3" borderId="19" xfId="0" applyNumberFormat="1" applyFont="1" applyFill="1" applyBorder="1" applyAlignment="1">
      <alignment horizontal="center"/>
    </xf>
    <xf numFmtId="0" fontId="9" fillId="3" borderId="20" xfId="0" applyFont="1" applyFill="1" applyBorder="1" applyAlignment="1">
      <alignment horizontal="left" indent="3"/>
    </xf>
    <xf numFmtId="0" fontId="9" fillId="3" borderId="21" xfId="0" applyFont="1" applyFill="1" applyBorder="1" applyAlignment="1">
      <alignment horizontal="left" indent="3"/>
    </xf>
    <xf numFmtId="8" fontId="8" fillId="3" borderId="22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left" indent="3"/>
    </xf>
    <xf numFmtId="164" fontId="7" fillId="3" borderId="6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left" indent="3"/>
    </xf>
    <xf numFmtId="164" fontId="7" fillId="3" borderId="9" xfId="0" applyNumberFormat="1" applyFont="1" applyFill="1" applyBorder="1" applyAlignment="1">
      <alignment horizontal="center"/>
    </xf>
    <xf numFmtId="164" fontId="7" fillId="3" borderId="10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left" indent="3"/>
    </xf>
    <xf numFmtId="164" fontId="7" fillId="3" borderId="12" xfId="0" applyNumberFormat="1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4" borderId="0" xfId="0" applyFont="1" applyFill="1"/>
    <xf numFmtId="164" fontId="8" fillId="4" borderId="0" xfId="1" applyNumberFormat="1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8" fillId="5" borderId="0" xfId="0" applyFont="1" applyFill="1"/>
    <xf numFmtId="164" fontId="8" fillId="5" borderId="0" xfId="0" applyNumberFormat="1" applyFont="1" applyFill="1" applyAlignment="1">
      <alignment horizontal="center"/>
    </xf>
    <xf numFmtId="0" fontId="10" fillId="10" borderId="0" xfId="3" applyFont="1" applyFill="1" applyAlignment="1">
      <alignment horizontal="center"/>
    </xf>
    <xf numFmtId="0" fontId="10" fillId="10" borderId="0" xfId="3" applyFont="1" applyFill="1"/>
    <xf numFmtId="0" fontId="11" fillId="5" borderId="0" xfId="0" applyFont="1" applyFill="1" applyAlignment="1">
      <alignment horizontal="center"/>
    </xf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4" fillId="2" borderId="0" xfId="3" applyFont="1"/>
    <xf numFmtId="9" fontId="14" fillId="2" borderId="0" xfId="2" applyFont="1" applyFill="1"/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9" fontId="13" fillId="6" borderId="0" xfId="0" applyNumberFormat="1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8-8140-B4A0-68D9D54AFD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8-8140-B4A0-68D9D54AFD8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9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9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9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9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8-8140-B4A0-68D9D54AFD8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9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D8-8140-B4A0-68D9D54AFD8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D8-8140-B4A0-68D9D54AFD8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shade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4D8-8140-B4A0-68D9D54AFD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mic Sans MS" panose="030F0902030302020204" pitchFamily="66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0.35</c:v>
                </c:pt>
                <c:pt idx="1">
                  <c:v>0.35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Comic Sans MS" panose="030F0902030302020204" pitchFamily="66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392545</xdr:colOff>
      <xdr:row>42</xdr:row>
      <xdr:rowOff>190334</xdr:rowOff>
    </xdr:from>
    <xdr:to>
      <xdr:col>3</xdr:col>
      <xdr:colOff>1111539</xdr:colOff>
      <xdr:row>55</xdr:row>
      <xdr:rowOff>128195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80818</xdr:rowOff>
    </xdr:from>
    <xdr:to>
      <xdr:col>4</xdr:col>
      <xdr:colOff>23090</xdr:colOff>
      <xdr:row>7</xdr:row>
      <xdr:rowOff>103909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4E7F55D-9ABC-3EAF-35D1-D1F736EC0755}"/>
            </a:ext>
          </a:extLst>
        </xdr:cNvPr>
        <xdr:cNvSpPr txBox="1"/>
      </xdr:nvSpPr>
      <xdr:spPr>
        <a:xfrm>
          <a:off x="415636" y="277091"/>
          <a:ext cx="6072909" cy="1200727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>
              <a:solidFill>
                <a:schemeClr val="bg1"/>
              </a:solidFill>
              <a:latin typeface="Comic Sans MS" panose="030F0902030302020204" pitchFamily="66" charset="0"/>
            </a:rPr>
            <a:t>Thilt Investimentos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B2" sqref="B2"/>
    </sheetView>
  </sheetViews>
  <sheetFormatPr baseColWidth="10" defaultColWidth="0" defaultRowHeight="15"/>
  <cols>
    <col min="1" max="1" width="5.5" customWidth="1"/>
    <col min="2" max="2" width="46.83203125" customWidth="1"/>
    <col min="3" max="3" width="17.5" bestFit="1" customWidth="1"/>
    <col min="4" max="4" width="15" customWidth="1"/>
    <col min="5" max="8" width="3.5" customWidth="1"/>
    <col min="9" max="16384" width="8.6640625" hidden="1"/>
  </cols>
  <sheetData>
    <row r="10" spans="2:4" ht="16" thickBot="1"/>
    <row r="11" spans="2:4" ht="31">
      <c r="B11" s="4" t="s">
        <v>14</v>
      </c>
      <c r="C11" s="5"/>
      <c r="D11" s="6"/>
    </row>
    <row r="12" spans="2:4" ht="18">
      <c r="B12" s="7" t="s">
        <v>13</v>
      </c>
      <c r="C12" s="8"/>
      <c r="D12" s="9">
        <v>3000</v>
      </c>
    </row>
    <row r="13" spans="2:4" ht="18">
      <c r="B13" s="10" t="s">
        <v>12</v>
      </c>
      <c r="C13" s="11"/>
      <c r="D13" s="12">
        <v>6.0000000000000001E-3</v>
      </c>
    </row>
    <row r="14" spans="2:4" ht="19" thickBot="1">
      <c r="B14" s="13" t="s">
        <v>32</v>
      </c>
      <c r="C14" s="14"/>
      <c r="D14" s="15">
        <f>D12*30%</f>
        <v>900</v>
      </c>
    </row>
    <row r="15" spans="2:4" ht="16" thickBot="1"/>
    <row r="16" spans="2:4" ht="28.5" customHeight="1">
      <c r="B16" s="16" t="s">
        <v>5</v>
      </c>
      <c r="C16" s="17"/>
      <c r="D16" s="18"/>
    </row>
    <row r="17" spans="1:6" ht="18">
      <c r="B17" s="7" t="s">
        <v>0</v>
      </c>
      <c r="C17" s="8"/>
      <c r="D17" s="20">
        <v>900</v>
      </c>
    </row>
    <row r="18" spans="1:6" ht="18">
      <c r="B18" s="10" t="s">
        <v>1</v>
      </c>
      <c r="C18" s="11"/>
      <c r="D18" s="21">
        <v>5</v>
      </c>
    </row>
    <row r="19" spans="1:6" ht="18">
      <c r="B19" s="10" t="s">
        <v>2</v>
      </c>
      <c r="C19" s="11"/>
      <c r="D19" s="22">
        <v>1.0789999999999999E-2</v>
      </c>
    </row>
    <row r="20" spans="1:6" ht="18">
      <c r="B20" s="23" t="s">
        <v>3</v>
      </c>
      <c r="C20" s="24"/>
      <c r="D20" s="25">
        <f>FV(taxa_mensal,qtd_anos*12,aporte*-1)</f>
        <v>75399.22259863888</v>
      </c>
    </row>
    <row r="21" spans="1:6" ht="19" thickBot="1">
      <c r="B21" s="26" t="s">
        <v>4</v>
      </c>
      <c r="C21" s="27"/>
      <c r="D21" s="28">
        <f>patrimonio*rendimento_carteira</f>
        <v>452.39533559183332</v>
      </c>
      <c r="F21" s="3"/>
    </row>
    <row r="22" spans="1:6" ht="16" thickBot="1"/>
    <row r="23" spans="1:6" ht="31">
      <c r="B23" s="16" t="s">
        <v>33</v>
      </c>
      <c r="C23" s="17"/>
      <c r="D23" s="19" t="s">
        <v>11</v>
      </c>
    </row>
    <row r="24" spans="1:6" ht="18">
      <c r="A24" s="1">
        <v>2</v>
      </c>
      <c r="B24" s="29" t="s">
        <v>6</v>
      </c>
      <c r="C24" s="30">
        <f>FV($D$19,$A24*12,$D$17*-1)</f>
        <v>24504.864567880697</v>
      </c>
      <c r="D24" s="31">
        <f>C24*rendimento_carteira</f>
        <v>147.02918740728418</v>
      </c>
    </row>
    <row r="25" spans="1:6" ht="18">
      <c r="A25" s="1">
        <v>5</v>
      </c>
      <c r="B25" s="32" t="s">
        <v>7</v>
      </c>
      <c r="C25" s="33">
        <f>FV($D$19,$A25*12,$D$17*-1)</f>
        <v>75399.22259863888</v>
      </c>
      <c r="D25" s="34">
        <f>C25*rendimento_carteira</f>
        <v>452.39533559183332</v>
      </c>
    </row>
    <row r="26" spans="1:6" ht="18">
      <c r="A26" s="1">
        <v>10</v>
      </c>
      <c r="B26" s="32" t="s">
        <v>8</v>
      </c>
      <c r="C26" s="33">
        <f>FV($D$19,$A26*12,$D$17*-1)</f>
        <v>218955.79127715499</v>
      </c>
      <c r="D26" s="34">
        <f>C26*rendimento_carteira</f>
        <v>1313.73474766293</v>
      </c>
    </row>
    <row r="27" spans="1:6" ht="18">
      <c r="A27" s="1">
        <v>20</v>
      </c>
      <c r="B27" s="32" t="s">
        <v>9</v>
      </c>
      <c r="C27" s="33">
        <f>FV($D$19,$A27*12,$D$17*-1)</f>
        <v>1012678.5600873725</v>
      </c>
      <c r="D27" s="34">
        <f>C27*rendimento_carteira</f>
        <v>6076.0713605242354</v>
      </c>
    </row>
    <row r="28" spans="1:6" ht="19" thickBot="1">
      <c r="A28" s="1">
        <v>30</v>
      </c>
      <c r="B28" s="35" t="s">
        <v>10</v>
      </c>
      <c r="C28" s="36">
        <f>FV($D$19,$A28*12,$D$17*-1)</f>
        <v>3889952.689504243</v>
      </c>
      <c r="D28" s="37">
        <f>C28*rendimento_carteira</f>
        <v>23339.716137025458</v>
      </c>
    </row>
    <row r="32" spans="1:6" ht="17">
      <c r="B32" s="46" t="s">
        <v>19</v>
      </c>
      <c r="C32" s="46" t="s">
        <v>16</v>
      </c>
      <c r="D32" s="47"/>
    </row>
    <row r="33" spans="2:4" ht="17">
      <c r="B33" s="38" t="s">
        <v>18</v>
      </c>
      <c r="C33" s="39">
        <f>aporte</f>
        <v>900</v>
      </c>
      <c r="D33" s="38"/>
    </row>
    <row r="34" spans="2:4" ht="17">
      <c r="B34" s="40"/>
      <c r="C34" s="40"/>
      <c r="D34" s="40"/>
    </row>
    <row r="35" spans="2:4" ht="17">
      <c r="B35" s="48" t="s">
        <v>20</v>
      </c>
      <c r="C35" s="48" t="s">
        <v>21</v>
      </c>
      <c r="D35" s="48" t="s">
        <v>22</v>
      </c>
    </row>
    <row r="36" spans="2:4" ht="17">
      <c r="B36" s="41" t="s">
        <v>23</v>
      </c>
      <c r="C36" s="42">
        <f>VLOOKUP($C$32&amp;"-"&amp;B36,Planilha2!$A:$D,4,FALSE)</f>
        <v>0.35</v>
      </c>
      <c r="D36" s="43">
        <f>C36*$C$33</f>
        <v>315</v>
      </c>
    </row>
    <row r="37" spans="2:4" ht="17">
      <c r="B37" s="41" t="s">
        <v>24</v>
      </c>
      <c r="C37" s="42">
        <f>VLOOKUP($C$32&amp;"-"&amp;B37,Planilha2!$A:$D,4,FALSE)</f>
        <v>0.35</v>
      </c>
      <c r="D37" s="43">
        <f t="shared" ref="D37:D41" si="0">C37*$C$33</f>
        <v>315</v>
      </c>
    </row>
    <row r="38" spans="2:4" ht="17">
      <c r="B38" s="41" t="s">
        <v>25</v>
      </c>
      <c r="C38" s="42">
        <f>VLOOKUP($C$32&amp;"-"&amp;B38,Planilha2!$A:$D,4,FALSE)</f>
        <v>0.05</v>
      </c>
      <c r="D38" s="43">
        <f t="shared" si="0"/>
        <v>45</v>
      </c>
    </row>
    <row r="39" spans="2:4" ht="17">
      <c r="B39" s="41" t="s">
        <v>26</v>
      </c>
      <c r="C39" s="42">
        <f>VLOOKUP($C$32&amp;"-"&amp;B39,Planilha2!$A:$D,4,FALSE)</f>
        <v>0.05</v>
      </c>
      <c r="D39" s="43">
        <f t="shared" si="0"/>
        <v>45</v>
      </c>
    </row>
    <row r="40" spans="2:4" ht="17">
      <c r="B40" s="41" t="s">
        <v>27</v>
      </c>
      <c r="C40" s="42">
        <f>VLOOKUP($C$32&amp;"-"&amp;B40,Planilha2!$A:$D,4,FALSE)</f>
        <v>0.1</v>
      </c>
      <c r="D40" s="43">
        <f t="shared" si="0"/>
        <v>90</v>
      </c>
    </row>
    <row r="41" spans="2:4" ht="17">
      <c r="B41" s="41" t="s">
        <v>28</v>
      </c>
      <c r="C41" s="42">
        <f>VLOOKUP($C$32&amp;"-"&amp;B41,Planilha2!$A:$D,4,FALSE)</f>
        <v>0.1</v>
      </c>
      <c r="D41" s="43">
        <f t="shared" si="0"/>
        <v>90</v>
      </c>
    </row>
    <row r="42" spans="2:4" ht="17">
      <c r="B42" s="44"/>
      <c r="C42" s="44"/>
      <c r="D42" s="45">
        <f>SUM(D36:D41)</f>
        <v>900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1">
    <mergeCell ref="B11:D11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disablePrompts="1"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D20" sqref="D20"/>
    </sheetView>
  </sheetViews>
  <sheetFormatPr baseColWidth="10" defaultColWidth="8.83203125" defaultRowHeight="15"/>
  <cols>
    <col min="1" max="1" width="29.1640625" bestFit="1" customWidth="1"/>
    <col min="2" max="2" width="11.5" bestFit="1" customWidth="1"/>
    <col min="3" max="3" width="17.6640625" bestFit="1" customWidth="1"/>
    <col min="7" max="7" width="15.33203125" bestFit="1" customWidth="1"/>
  </cols>
  <sheetData>
    <row r="2" spans="1:8" ht="16">
      <c r="A2" s="49" t="s">
        <v>30</v>
      </c>
      <c r="B2" s="49" t="s">
        <v>19</v>
      </c>
      <c r="C2" s="50" t="s">
        <v>20</v>
      </c>
      <c r="D2" s="50" t="s">
        <v>29</v>
      </c>
      <c r="E2" s="51"/>
      <c r="F2" s="51"/>
      <c r="G2" s="51"/>
      <c r="H2" s="51"/>
    </row>
    <row r="3" spans="1:8" ht="16">
      <c r="A3" s="51" t="str">
        <f>B3&amp;"-"&amp;C3</f>
        <v>Conservador-PAPEL</v>
      </c>
      <c r="B3" s="51" t="s">
        <v>15</v>
      </c>
      <c r="C3" s="52" t="s">
        <v>23</v>
      </c>
      <c r="D3" s="53">
        <v>0.3</v>
      </c>
      <c r="E3" s="51"/>
      <c r="F3" s="51"/>
      <c r="G3" s="51"/>
      <c r="H3" s="51" t="s">
        <v>29</v>
      </c>
    </row>
    <row r="4" spans="1:8" ht="16">
      <c r="A4" s="51" t="str">
        <f t="shared" ref="A4:A20" si="0">B4&amp;"-"&amp;C4</f>
        <v>Conservador-TIJOLO</v>
      </c>
      <c r="B4" s="51" t="s">
        <v>15</v>
      </c>
      <c r="C4" s="52" t="s">
        <v>24</v>
      </c>
      <c r="D4" s="53">
        <v>0.4</v>
      </c>
      <c r="E4" s="51"/>
      <c r="F4" s="51"/>
      <c r="G4" s="54" t="s">
        <v>31</v>
      </c>
      <c r="H4" s="55">
        <f>VLOOKUP(G4,$A:$D,4,FALSE)</f>
        <v>0.35</v>
      </c>
    </row>
    <row r="5" spans="1:8" ht="16">
      <c r="A5" s="51" t="str">
        <f t="shared" si="0"/>
        <v>Conservador-HÍBRIDOS</v>
      </c>
      <c r="B5" s="51" t="s">
        <v>15</v>
      </c>
      <c r="C5" s="52" t="s">
        <v>25</v>
      </c>
      <c r="D5" s="53">
        <v>0.1</v>
      </c>
      <c r="E5" s="51"/>
      <c r="F5" s="51"/>
      <c r="G5" s="51"/>
      <c r="H5" s="51"/>
    </row>
    <row r="6" spans="1:8" ht="16">
      <c r="A6" s="51" t="str">
        <f t="shared" si="0"/>
        <v>Conservador-FOFs</v>
      </c>
      <c r="B6" s="51" t="s">
        <v>15</v>
      </c>
      <c r="C6" s="52" t="s">
        <v>26</v>
      </c>
      <c r="D6" s="53">
        <v>0.1</v>
      </c>
      <c r="E6" s="51"/>
      <c r="F6" s="51"/>
      <c r="G6" s="51"/>
      <c r="H6" s="51"/>
    </row>
    <row r="7" spans="1:8" ht="16">
      <c r="A7" s="51" t="str">
        <f t="shared" si="0"/>
        <v>Conservador-DESENVOLVIMENTO</v>
      </c>
      <c r="B7" s="51" t="s">
        <v>15</v>
      </c>
      <c r="C7" s="52" t="s">
        <v>27</v>
      </c>
      <c r="D7" s="53">
        <v>0.05</v>
      </c>
      <c r="E7" s="51"/>
      <c r="F7" s="51"/>
      <c r="G7" s="51"/>
      <c r="H7" s="51"/>
    </row>
    <row r="8" spans="1:8" ht="17" thickBot="1">
      <c r="A8" s="56" t="str">
        <f t="shared" si="0"/>
        <v>Conservador-HOTELARIAS</v>
      </c>
      <c r="B8" s="56" t="s">
        <v>15</v>
      </c>
      <c r="C8" s="57" t="s">
        <v>28</v>
      </c>
      <c r="D8" s="58">
        <v>0.05</v>
      </c>
      <c r="E8" s="51"/>
      <c r="F8" s="51"/>
      <c r="G8" s="51"/>
      <c r="H8" s="51"/>
    </row>
    <row r="9" spans="1:8" ht="16">
      <c r="A9" s="51" t="str">
        <f t="shared" si="0"/>
        <v>Moderado-PAPEL</v>
      </c>
      <c r="B9" s="51" t="s">
        <v>16</v>
      </c>
      <c r="C9" s="52" t="s">
        <v>23</v>
      </c>
      <c r="D9" s="53">
        <v>0.35</v>
      </c>
      <c r="E9" s="51"/>
      <c r="F9" s="51"/>
      <c r="G9" s="51"/>
      <c r="H9" s="51"/>
    </row>
    <row r="10" spans="1:8" ht="16">
      <c r="A10" s="59" t="str">
        <f t="shared" si="0"/>
        <v>Moderado-TIJOLO</v>
      </c>
      <c r="B10" s="59" t="s">
        <v>16</v>
      </c>
      <c r="C10" s="60" t="s">
        <v>24</v>
      </c>
      <c r="D10" s="61">
        <v>0.35</v>
      </c>
      <c r="E10" s="51"/>
      <c r="F10" s="51"/>
      <c r="G10" s="51"/>
      <c r="H10" s="51"/>
    </row>
    <row r="11" spans="1:8" ht="16">
      <c r="A11" s="51" t="str">
        <f t="shared" si="0"/>
        <v>Moderado-HÍBRIDOS</v>
      </c>
      <c r="B11" s="51" t="s">
        <v>16</v>
      </c>
      <c r="C11" s="52" t="s">
        <v>25</v>
      </c>
      <c r="D11" s="53">
        <v>0.05</v>
      </c>
      <c r="E11" s="51"/>
      <c r="F11" s="51"/>
      <c r="G11" s="51"/>
      <c r="H11" s="51"/>
    </row>
    <row r="12" spans="1:8" ht="16">
      <c r="A12" s="51" t="str">
        <f t="shared" si="0"/>
        <v>Moderado-FOFs</v>
      </c>
      <c r="B12" s="51" t="s">
        <v>16</v>
      </c>
      <c r="C12" s="52" t="s">
        <v>26</v>
      </c>
      <c r="D12" s="53">
        <v>0.05</v>
      </c>
      <c r="E12" s="51"/>
      <c r="F12" s="51"/>
      <c r="G12" s="51"/>
      <c r="H12" s="51"/>
    </row>
    <row r="13" spans="1:8" ht="16">
      <c r="A13" s="51" t="str">
        <f t="shared" si="0"/>
        <v>Moderado-DESENVOLVIMENTO</v>
      </c>
      <c r="B13" s="51" t="s">
        <v>16</v>
      </c>
      <c r="C13" s="52" t="s">
        <v>27</v>
      </c>
      <c r="D13" s="53">
        <v>0.1</v>
      </c>
      <c r="E13" s="51"/>
      <c r="F13" s="51"/>
      <c r="G13" s="51"/>
      <c r="H13" s="51"/>
    </row>
    <row r="14" spans="1:8" ht="17" thickBot="1">
      <c r="A14" s="56" t="str">
        <f t="shared" si="0"/>
        <v>Moderado-HOTELARIAS</v>
      </c>
      <c r="B14" s="56" t="s">
        <v>16</v>
      </c>
      <c r="C14" s="57" t="s">
        <v>28</v>
      </c>
      <c r="D14" s="58">
        <v>0.1</v>
      </c>
      <c r="E14" s="51"/>
      <c r="F14" s="51"/>
      <c r="G14" s="51"/>
      <c r="H14" s="51"/>
    </row>
    <row r="15" spans="1:8" ht="16">
      <c r="A15" s="51" t="str">
        <f t="shared" si="0"/>
        <v>Agressivo-PAPEL</v>
      </c>
      <c r="B15" s="51" t="s">
        <v>17</v>
      </c>
      <c r="C15" s="52" t="s">
        <v>23</v>
      </c>
      <c r="D15" s="53">
        <v>0.5</v>
      </c>
      <c r="E15" s="51"/>
      <c r="F15" s="51"/>
      <c r="G15" s="51"/>
      <c r="H15" s="51"/>
    </row>
    <row r="16" spans="1:8" ht="16">
      <c r="A16" s="51" t="str">
        <f t="shared" si="0"/>
        <v>Agressivo-TIJOLO</v>
      </c>
      <c r="B16" s="51" t="s">
        <v>17</v>
      </c>
      <c r="C16" s="52" t="s">
        <v>24</v>
      </c>
      <c r="D16" s="53">
        <v>0.1</v>
      </c>
      <c r="E16" s="51"/>
      <c r="F16" s="51"/>
      <c r="G16" s="51"/>
      <c r="H16" s="51"/>
    </row>
    <row r="17" spans="1:8" ht="16">
      <c r="A17" s="51" t="str">
        <f t="shared" si="0"/>
        <v>Agressivo-HÍBRIDOS</v>
      </c>
      <c r="B17" s="51" t="s">
        <v>17</v>
      </c>
      <c r="C17" s="52" t="s">
        <v>25</v>
      </c>
      <c r="D17" s="53">
        <v>0.05</v>
      </c>
      <c r="E17" s="51"/>
      <c r="F17" s="51"/>
      <c r="G17" s="51"/>
      <c r="H17" s="51"/>
    </row>
    <row r="18" spans="1:8" ht="16">
      <c r="A18" s="51" t="str">
        <f t="shared" si="0"/>
        <v>Agressivo-FOFs</v>
      </c>
      <c r="B18" s="51" t="s">
        <v>17</v>
      </c>
      <c r="C18" s="52" t="s">
        <v>26</v>
      </c>
      <c r="D18" s="53">
        <v>0.05</v>
      </c>
      <c r="E18" s="51"/>
      <c r="F18" s="51"/>
      <c r="G18" s="51"/>
      <c r="H18" s="51"/>
    </row>
    <row r="19" spans="1:8" ht="16">
      <c r="A19" s="51" t="str">
        <f t="shared" si="0"/>
        <v>Agressivo-DESENVOLVIMENTO</v>
      </c>
      <c r="B19" s="51" t="s">
        <v>17</v>
      </c>
      <c r="C19" s="52" t="s">
        <v>27</v>
      </c>
      <c r="D19" s="53">
        <v>0.15</v>
      </c>
      <c r="E19" s="51"/>
      <c r="F19" s="51"/>
      <c r="G19" s="51"/>
      <c r="H19" s="51"/>
    </row>
    <row r="20" spans="1:8" ht="16">
      <c r="A20" s="51" t="str">
        <f t="shared" si="0"/>
        <v>Agressivo-HOTELARIAS</v>
      </c>
      <c r="B20" s="51" t="s">
        <v>17</v>
      </c>
      <c r="C20" s="52" t="s">
        <v>28</v>
      </c>
      <c r="D20" s="53">
        <v>0.15</v>
      </c>
      <c r="E20" s="51"/>
      <c r="F20" s="51"/>
      <c r="G20" s="51"/>
      <c r="H20" s="51"/>
    </row>
    <row r="21" spans="1:8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Thiago Firmino</cp:lastModifiedBy>
  <dcterms:created xsi:type="dcterms:W3CDTF">2025-04-16T18:38:03Z</dcterms:created>
  <dcterms:modified xsi:type="dcterms:W3CDTF">2026-02-17T21:13:17Z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